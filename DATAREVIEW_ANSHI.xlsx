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3e02e38f5f1cd/Desktop/Anshika/DATA ANALYST TASKSSSS/"/>
    </mc:Choice>
  </mc:AlternateContent>
  <xr:revisionPtr revIDLastSave="3" documentId="8_{2789860F-57FE-4742-8A7B-FFB3C6C0ACC9}" xr6:coauthVersionLast="47" xr6:coauthVersionMax="47" xr10:uidLastSave="{11307A5F-9765-4D81-8F63-5E5E1345D30D}"/>
  <bookViews>
    <workbookView xWindow="-108" yWindow="-108" windowWidth="23256" windowHeight="12456" xr2:uid="{AFD61017-D462-425C-9B09-8B5FEA0AE73E}"/>
  </bookViews>
  <sheets>
    <sheet name="DATA" sheetId="1" r:id="rId1"/>
    <sheet name="KEYWORDS" sheetId="2" r:id="rId2"/>
    <sheet name="Sheet6" sheetId="6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6" l="1"/>
  <c r="B9" i="6"/>
  <c r="B7" i="6"/>
  <c r="F20" i="1"/>
  <c r="F19" i="1"/>
  <c r="F1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3" i="1"/>
  <c r="D16" i="1" a="1"/>
  <c r="D16" i="1" s="1"/>
  <c r="D4" i="1" a="1"/>
  <c r="D4" i="1" s="1"/>
  <c r="D5" i="1" a="1"/>
  <c r="D5" i="1"/>
  <c r="D6" i="1" a="1"/>
  <c r="D6" i="1" s="1"/>
  <c r="D7" i="1" a="1"/>
  <c r="D7" i="1"/>
  <c r="D8" i="1" a="1"/>
  <c r="D8" i="1" s="1"/>
  <c r="D9" i="1" a="1"/>
  <c r="D9" i="1"/>
  <c r="D10" i="1" a="1"/>
  <c r="D10" i="1" s="1"/>
  <c r="D11" i="1" a="1"/>
  <c r="D11" i="1"/>
  <c r="D12" i="1" a="1"/>
  <c r="D12" i="1" s="1"/>
  <c r="D13" i="1" a="1"/>
  <c r="D13" i="1"/>
  <c r="D14" i="1" a="1"/>
  <c r="D14" i="1" s="1"/>
  <c r="D15" i="1" a="1"/>
  <c r="D15" i="1" s="1"/>
  <c r="D3" i="1" a="1"/>
  <c r="D3" i="1" s="1"/>
  <c r="C4" i="1" a="1"/>
  <c r="C4" i="1"/>
  <c r="C5" i="1" a="1"/>
  <c r="C5" i="1"/>
  <c r="C6" i="1" a="1"/>
  <c r="C6" i="1"/>
  <c r="C7" i="1" a="1"/>
  <c r="C7" i="1"/>
  <c r="C8" i="1" a="1"/>
  <c r="C8" i="1"/>
  <c r="C10" i="1" a="1"/>
  <c r="C10" i="1"/>
  <c r="C11" i="1" a="1"/>
  <c r="C11" i="1"/>
  <c r="C12" i="1" a="1"/>
  <c r="C12" i="1"/>
  <c r="C13" i="1" a="1"/>
  <c r="C13" i="1" s="1"/>
  <c r="C14" i="1" a="1"/>
  <c r="C14" i="1"/>
  <c r="C15" i="1" a="1"/>
  <c r="C15" i="1"/>
  <c r="C16" i="1" a="1"/>
  <c r="C16" i="1"/>
  <c r="C3" i="1" a="1"/>
  <c r="C3" i="1" s="1"/>
  <c r="B16" i="1"/>
  <c r="B4" i="1"/>
  <c r="B3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5" i="1"/>
  <c r="B6" i="1"/>
  <c r="B7" i="1"/>
  <c r="B8" i="1"/>
  <c r="B9" i="1"/>
  <c r="B10" i="1"/>
  <c r="B11" i="1"/>
  <c r="B12" i="1"/>
  <c r="B13" i="1"/>
  <c r="B14" i="1"/>
  <c r="B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<sst xmlns="http://schemas.openxmlformats.org/spreadsheetml/2006/main" count="57" uniqueCount="55">
  <si>
    <t>BBC News - Amazon boss Jeff Bezos rejects claims company acted like a 'drug dealer' bbc.co.uk/news/av/busineâ€¦</t>
  </si>
  <si>
    <t>@Microsoft Why do I pay for WORD when it functions so poorly on my @SamsungUS Chromebook? ðŸ™„</t>
  </si>
  <si>
    <t>CSGO matchmaking is so full of closet hacking, it's a truly awful game.</t>
  </si>
  <si>
    <t>Now the President is slapping Americans in the face that he really did commit an unlawful act after his  acquittal! From Discover on Google vanityfair.com/news/2020/02/tâ€¦</t>
  </si>
  <si>
    <t>Rocket League, Sea of Thieves or Rainbow Six: SiegeðŸ¤”? I love playing all three on stream but which is the best? #stream #twitch #RocketLeague #SeaOfThieves #RainbowSixSiege #follow</t>
  </si>
  <si>
    <t>my ass still knee-deep in Assassins Creed Odyssey with no way out anytime soon lmao</t>
  </si>
  <si>
    <t>FIX IT JESUS ! Please FIX IT ! What In the world is going on here.  @PlayStation @AskPlayStation @Playstationsup @Treyarch @CallofDuty negative 345 silver wolf error code pic.twitter.com/ziRyhrf59Q</t>
  </si>
  <si>
    <t>@FredTJoseph hey fred, Comcast cut the cable and now Verizon stays calling me to shut that too pic.twitter.com/CPWSrmueDg</t>
  </si>
  <si>
    <t>CSGO WIngman (Im Silver dont bully) twitch.tv/lprezh</t>
  </si>
  <si>
    <t>@NBA2K game sucks... down by 2 with 38 seconds left and my team intentionally fouls</t>
  </si>
  <si>
    <t>Thatâ€™s the best one wtf?</t>
  </si>
  <si>
    <t>SENTIMENT ANALYSIS — DATA &amp; SCORING</t>
  </si>
  <si>
    <t>Pos Score</t>
  </si>
  <si>
    <t>Neg Score</t>
  </si>
  <si>
    <t>Net Score</t>
  </si>
  <si>
    <t>Sentiment</t>
  </si>
  <si>
    <t>Confidence</t>
  </si>
  <si>
    <t xml:space="preserve">Thank you @EAMaddenNFL!! 
New TE Austin Hooper in the ORANGE &amp; BROWN!! 
</t>
  </si>
  <si>
    <t>The professional dota 2 scene is fucking exploding and I completely welcome it.
Get the garbage out.</t>
  </si>
  <si>
    <t>Itching to assassinate 
#TCCGif #AssassinsCreedBlackFlag #AssassinsCreed #TheCapturedCollective pic.twitter.com/vv8MOGtCjw</t>
  </si>
  <si>
    <t>RAW DATA</t>
  </si>
  <si>
    <t>CLEAN TEXT</t>
  </si>
  <si>
    <t>✅  POSITIVE WORDS</t>
  </si>
  <si>
    <t>❌  NEGATIVE WORDS</t>
  </si>
  <si>
    <t>POOR</t>
  </si>
  <si>
    <t>AWFUL</t>
  </si>
  <si>
    <t>UNLAWFUL</t>
  </si>
  <si>
    <t>THANK YOU</t>
  </si>
  <si>
    <t>LOVE</t>
  </si>
  <si>
    <t>FUCKING</t>
  </si>
  <si>
    <t>CUT</t>
  </si>
  <si>
    <t>ASSASSINATE</t>
  </si>
  <si>
    <t>BEST</t>
  </si>
  <si>
    <t>SLAPPING</t>
  </si>
  <si>
    <t>COMPLETE</t>
  </si>
  <si>
    <t>EXPLODING</t>
  </si>
  <si>
    <t>SHUT</t>
  </si>
  <si>
    <t>SUCKS</t>
  </si>
  <si>
    <t>FOWLS</t>
  </si>
  <si>
    <t>COLLECTIVE</t>
  </si>
  <si>
    <t>CAPTURE</t>
  </si>
  <si>
    <t>POSITIVE</t>
  </si>
  <si>
    <t>NEGETIVE</t>
  </si>
  <si>
    <t>CLAIM</t>
  </si>
  <si>
    <t>OUT</t>
  </si>
  <si>
    <t>HAPPY</t>
  </si>
  <si>
    <t>SMOOTH</t>
  </si>
  <si>
    <t>NEW</t>
  </si>
  <si>
    <t>WAY</t>
  </si>
  <si>
    <t>NEGATIVE</t>
  </si>
  <si>
    <t>TOTAL</t>
  </si>
  <si>
    <t>ROW LABEL</t>
  </si>
  <si>
    <t>NUETRAL</t>
  </si>
  <si>
    <t xml:space="preserve">AVERAGE </t>
  </si>
  <si>
    <t>AVERAGE 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</si>
</sst>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1"/>
      <color rgb="FFFFFFFF"/>
      <name val="Arial"/>
      <family val="2"/>
    </font>
    <font>
      <b/>
      <sz val="18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595959"/>
      </patternFill>
    </fill>
    <fill>
      <patternFill patternType="solid">
        <fgColor rgb="FF7B0000"/>
        <bgColor rgb="FF8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6" borderId="0" xfId="0" applyFill="1"/>
    <xf numFmtId="0" fontId="0" fillId="7" borderId="0" xfId="0" applyFill="1"/>
    <xf numFmtId="0" fontId="1" fillId="8" borderId="3" xfId="0" applyFont="1" applyFill="1" applyBorder="1"/>
    <xf numFmtId="0" fontId="1" fillId="8" borderId="4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DATA</a:t>
            </a:r>
            <a:r>
              <a:rPr lang="en-IN" baseline="0"/>
              <a:t> REVIEW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3"/>
                <c:pt idx="0">
                  <c:v>NEGATIVE</c:v>
                </c:pt>
                <c:pt idx="1">
                  <c:v>NUETRAL</c:v>
                </c:pt>
                <c:pt idx="2">
                  <c:v>POSITIVE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F8D-9ED3-0F3FCEF6C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8369311"/>
        <c:axId val="308369791"/>
      </c:barChart>
      <c:catAx>
        <c:axId val="30836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69791"/>
        <c:crosses val="autoZero"/>
        <c:auto val="1"/>
        <c:lblAlgn val="ctr"/>
        <c:lblOffset val="100"/>
        <c:noMultiLvlLbl val="0"/>
      </c:catAx>
      <c:valAx>
        <c:axId val="3083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36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</a:t>
            </a:r>
            <a:r>
              <a:rPr lang="en-US" baseline="0"/>
              <a:t> REVIEW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77-4845-89BF-7B21F37B5B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B7-4765-968A-FDF9843293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B7-4765-968A-FDF98432938F}"/>
              </c:ext>
            </c:extLst>
          </c:dPt>
          <c:cat>
            <c:strRef>
              <c:f>Sheet6!$A$4:$A$6</c:f>
              <c:strCache>
                <c:ptCount val="3"/>
                <c:pt idx="0">
                  <c:v>NEGATIVE</c:v>
                </c:pt>
                <c:pt idx="1">
                  <c:v>NUETRAL</c:v>
                </c:pt>
                <c:pt idx="2">
                  <c:v>POSITIVE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7-4845-89BF-7B21F37B5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87630</xdr:rowOff>
    </xdr:from>
    <xdr:to>
      <xdr:col>9</xdr:col>
      <xdr:colOff>510540</xdr:colOff>
      <xdr:row>15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F427A2-5D6E-DC90-CFC7-F33614B46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312420</xdr:colOff>
      <xdr:row>0</xdr:row>
      <xdr:rowOff>118110</xdr:rowOff>
    </xdr:from>
    <xdr:to>
      <xdr:col>18</xdr:col>
      <xdr:colOff>7620</xdr:colOff>
      <xdr:row>15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3E3BF7-F32F-2FDE-9F7D-6B56A316A8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6D7E03-BA6A-4625-8172-A001540210F5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9ff1c3a-cac7-459f-acc8-9a2ceeed4a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A5074-0D51-442E-85D6-E870A30A2B42}">
  <dimension ref="A1:G996"/>
  <sheetViews>
    <sheetView tabSelected="1" topLeftCell="B1" zoomScale="58" zoomScaleNormal="100" workbookViewId="0">
      <selection activeCell="K8" sqref="K8"/>
    </sheetView>
  </sheetViews>
  <sheetFormatPr defaultRowHeight="14.4" x14ac:dyDescent="0.3"/>
  <cols>
    <col min="1" max="1" width="128.21875" customWidth="1"/>
    <col min="2" max="2" width="138.109375" customWidth="1"/>
    <col min="3" max="3" width="14.77734375" customWidth="1"/>
    <col min="4" max="4" width="16.5546875" customWidth="1"/>
    <col min="5" max="5" width="12.6640625" customWidth="1"/>
    <col min="6" max="6" width="22.44140625" customWidth="1"/>
    <col min="7" max="7" width="19.21875" customWidth="1"/>
  </cols>
  <sheetData>
    <row r="1" spans="1:7" ht="22.8" x14ac:dyDescent="0.3">
      <c r="A1" s="15" t="s">
        <v>11</v>
      </c>
      <c r="B1" s="15"/>
      <c r="C1" s="15"/>
      <c r="D1" s="15"/>
      <c r="E1" s="15"/>
      <c r="F1" s="15"/>
      <c r="G1" s="15"/>
    </row>
    <row r="2" spans="1:7" ht="39" customHeight="1" x14ac:dyDescent="0.3">
      <c r="A2" s="4" t="s">
        <v>20</v>
      </c>
      <c r="B2" s="4" t="s">
        <v>21</v>
      </c>
      <c r="C2" s="5" t="s">
        <v>12</v>
      </c>
      <c r="D2" s="6" t="s">
        <v>13</v>
      </c>
      <c r="E2" s="7" t="s">
        <v>14</v>
      </c>
      <c r="F2" s="4" t="s">
        <v>15</v>
      </c>
      <c r="G2" s="7" t="s">
        <v>16</v>
      </c>
    </row>
    <row r="3" spans="1:7" ht="35.4" customHeight="1" x14ac:dyDescent="0.3">
      <c r="A3" s="2" t="s">
        <v>0</v>
      </c>
      <c r="B3" s="2" t="str">
        <f>LOWER(TRIM(A3))</f>
        <v>bbc news - amazon boss jeff bezos rejects claims company acted like a 'drug dealer' bbc.co.uk/news/av/busineâ€¦</v>
      </c>
      <c r="C3" cm="1">
        <f t="array" ref="C3">SUMPRODUCT(--ISNUMBER(SEARCH(KEYWORDS!$A$2:$A$11,B3)))</f>
        <v>2</v>
      </c>
      <c r="D3" cm="1">
        <f t="array" ref="D3">SUMPRODUCT(--ISNUMBER(SEARCH(KEYWORDS!$A$2:$B$11,B3)))</f>
        <v>2</v>
      </c>
      <c r="E3">
        <f>C3-D3</f>
        <v>0</v>
      </c>
      <c r="F3" t="str">
        <f>IF(E3&gt;0,"POSITIVE",IF(E3&lt;0,"NEGATIVE","NEUTRAL"))</f>
        <v>NEUTRAL</v>
      </c>
      <c r="G3">
        <f>IFERROR(MAX(C3,D3)/(C3+D3)*100,50)</f>
        <v>50</v>
      </c>
    </row>
    <row r="4" spans="1:7" ht="39" customHeight="1" x14ac:dyDescent="0.3">
      <c r="A4" s="2" t="s">
        <v>1</v>
      </c>
      <c r="B4" s="2" t="str">
        <f>LOWER(TRIM(A4))</f>
        <v>@microsoft why do i pay for word when it functions so poorly on my @samsungus chromebook? ðÿ™„</v>
      </c>
      <c r="C4" cm="1">
        <f t="array" ref="C4">SUMPRODUCT(--ISNUMBER(SEARCH(KEYWORDS!$A$2:$A$11,B4)))</f>
        <v>0</v>
      </c>
      <c r="D4" cm="1">
        <f t="array" ref="D4">SUMPRODUCT(--ISNUMBER(SEARCH(KEYWORDS!$A$2:$B$11,B4)))</f>
        <v>1</v>
      </c>
      <c r="E4">
        <f t="shared" ref="E4:E16" si="0">C4-D4</f>
        <v>-1</v>
      </c>
      <c r="F4" s="10" t="str">
        <f t="shared" ref="F4:F16" si="1">IF(E4&gt;0,"POSITIVE",IF(E4&lt;0,"NEGATIVE","NEUTRAL"))</f>
        <v>NEGATIVE</v>
      </c>
      <c r="G4">
        <f t="shared" ref="G4:G16" si="2">IFERROR(MAX(C4,D4)/(C4+D4)*100,50)</f>
        <v>100</v>
      </c>
    </row>
    <row r="5" spans="1:7" ht="30.6" customHeight="1" x14ac:dyDescent="0.3">
      <c r="A5" s="2" t="s">
        <v>2</v>
      </c>
      <c r="B5" s="2" t="str">
        <f t="shared" ref="B5:B16" si="3">LOWER(TRIM(A5))</f>
        <v>csgo matchmaking is so full of closet hacking, it's a truly awful game.</v>
      </c>
      <c r="C5" cm="1">
        <f t="array" ref="C5">SUMPRODUCT(--ISNUMBER(SEARCH(KEYWORDS!$A$2:$A$11,B5)))</f>
        <v>0</v>
      </c>
      <c r="D5" cm="1">
        <f t="array" ref="D5">SUMPRODUCT(--ISNUMBER(SEARCH(KEYWORDS!$A$2:$B$11,B5)))</f>
        <v>1</v>
      </c>
      <c r="E5">
        <f t="shared" si="0"/>
        <v>-1</v>
      </c>
      <c r="F5" s="10" t="str">
        <f t="shared" si="1"/>
        <v>NEGATIVE</v>
      </c>
      <c r="G5">
        <f t="shared" si="2"/>
        <v>100</v>
      </c>
    </row>
    <row r="6" spans="1:7" ht="42.6" customHeight="1" x14ac:dyDescent="0.3">
      <c r="A6" s="2" t="s">
        <v>3</v>
      </c>
      <c r="B6" s="2" t="str">
        <f t="shared" si="3"/>
        <v>now the president is slapping americans in the face that he really did commit an unlawful act after his acquittal! from discover on google vanityfair.com/news/2020/02/tâ€¦</v>
      </c>
      <c r="C6" cm="1">
        <f t="array" ref="C6">SUMPRODUCT(--ISNUMBER(SEARCH(KEYWORDS!$A$2:$A$11,B6)))</f>
        <v>1</v>
      </c>
      <c r="D6" cm="1">
        <f t="array" ref="D6">SUMPRODUCT(--ISNUMBER(SEARCH(KEYWORDS!$A$2:$B$11,B6)))</f>
        <v>4</v>
      </c>
      <c r="E6">
        <f t="shared" si="0"/>
        <v>-3</v>
      </c>
      <c r="F6" s="10" t="str">
        <f t="shared" si="1"/>
        <v>NEGATIVE</v>
      </c>
      <c r="G6">
        <f t="shared" si="2"/>
        <v>80</v>
      </c>
    </row>
    <row r="7" spans="1:7" ht="49.2" customHeight="1" x14ac:dyDescent="0.3">
      <c r="A7" s="2" t="s">
        <v>17</v>
      </c>
      <c r="B7" s="2" t="str">
        <f t="shared" si="3"/>
        <v xml:space="preserve">thank you @eamaddennfl!! 
new te austin hooper in the orange &amp; brown!! 
</v>
      </c>
      <c r="C7" cm="1">
        <f t="array" ref="C7">SUMPRODUCT(--ISNUMBER(SEARCH(KEYWORDS!$A$2:$A$11,B7)))</f>
        <v>2</v>
      </c>
      <c r="D7" cm="1">
        <f t="array" ref="D7">SUMPRODUCT(--ISNUMBER(SEARCH(KEYWORDS!$A$2:$B$11,B7)))</f>
        <v>2</v>
      </c>
      <c r="E7">
        <f t="shared" si="0"/>
        <v>0</v>
      </c>
      <c r="F7" t="str">
        <f t="shared" si="1"/>
        <v>NEUTRAL</v>
      </c>
      <c r="G7">
        <f t="shared" si="2"/>
        <v>50</v>
      </c>
    </row>
    <row r="8" spans="1:7" ht="51" customHeight="1" x14ac:dyDescent="0.3">
      <c r="A8" s="2" t="s">
        <v>4</v>
      </c>
      <c r="B8" s="2" t="str">
        <f t="shared" si="3"/>
        <v>rocket league, sea of thieves or rainbow six: siegeðÿ¤”? i love playing all three on stream but which is the best? #stream #twitch #rocketleague #seaofthieves #rainbowsixsiege #follow</v>
      </c>
      <c r="C8" cm="1">
        <f t="array" ref="C8">SUMPRODUCT(--ISNUMBER(SEARCH(KEYWORDS!$A$2:$A$11,B8)))</f>
        <v>2</v>
      </c>
      <c r="D8" cm="1">
        <f t="array" ref="D8">SUMPRODUCT(--ISNUMBER(SEARCH(KEYWORDS!$A$2:$B$11,B8)))</f>
        <v>2</v>
      </c>
      <c r="E8">
        <f t="shared" si="0"/>
        <v>0</v>
      </c>
      <c r="F8" t="str">
        <f t="shared" si="1"/>
        <v>NEUTRAL</v>
      </c>
      <c r="G8">
        <f t="shared" si="2"/>
        <v>50</v>
      </c>
    </row>
    <row r="9" spans="1:7" ht="43.2" customHeight="1" x14ac:dyDescent="0.3">
      <c r="A9" s="2" t="s">
        <v>5</v>
      </c>
      <c r="B9" s="2" t="str">
        <f t="shared" si="3"/>
        <v>my ass still knee-deep in assassins creed odyssey with no way out anytime soon lmao</v>
      </c>
      <c r="C9">
        <v>1</v>
      </c>
      <c r="D9" cm="1">
        <f t="array" ref="D9">SUMPRODUCT(--ISNUMBER(SEARCH(KEYWORDS!$A$2:$B$11,B9)))</f>
        <v>0</v>
      </c>
      <c r="E9">
        <f t="shared" si="0"/>
        <v>1</v>
      </c>
      <c r="F9" s="11" t="str">
        <f t="shared" si="1"/>
        <v>POSITIVE</v>
      </c>
      <c r="G9">
        <f t="shared" si="2"/>
        <v>100</v>
      </c>
    </row>
    <row r="10" spans="1:7" ht="74.400000000000006" customHeight="1" x14ac:dyDescent="0.3">
      <c r="A10" s="2" t="s">
        <v>6</v>
      </c>
      <c r="B10" s="2" t="str">
        <f t="shared" si="3"/>
        <v>fix it jesus ! please fix it ! what in the world is going on here. @playstation @askplaystation @playstationsup @treyarch @callofduty negative 345 silver wolf error code pic.twitter.com/ziryhrf59q</v>
      </c>
      <c r="C10" cm="1">
        <f t="array" ref="C10">SUMPRODUCT(--ISNUMBER(SEARCH(KEYWORDS!$A$2:$A$11,B10)))</f>
        <v>0</v>
      </c>
      <c r="D10" cm="1">
        <f t="array" ref="D10">SUMPRODUCT(--ISNUMBER(SEARCH(KEYWORDS!$A$2:$B$11,B10)))</f>
        <v>0</v>
      </c>
      <c r="E10">
        <f t="shared" si="0"/>
        <v>0</v>
      </c>
      <c r="F10" t="str">
        <f t="shared" si="1"/>
        <v>NEUTRAL</v>
      </c>
      <c r="G10">
        <f t="shared" si="2"/>
        <v>50</v>
      </c>
    </row>
    <row r="11" spans="1:7" ht="59.4" customHeight="1" x14ac:dyDescent="0.3">
      <c r="A11" s="2" t="s">
        <v>18</v>
      </c>
      <c r="B11" s="2" t="str">
        <f t="shared" si="3"/>
        <v>the professional dota 2 scene is fucking exploding and i completely welcome it.
get the garbage out.</v>
      </c>
      <c r="C11" cm="1">
        <f t="array" ref="C11">SUMPRODUCT(--ISNUMBER(SEARCH(KEYWORDS!$A$2:$A$11,B11)))</f>
        <v>1</v>
      </c>
      <c r="D11" cm="1">
        <f t="array" ref="D11">SUMPRODUCT(--ISNUMBER(SEARCH(KEYWORDS!$A$2:$B$11,B11)))</f>
        <v>3</v>
      </c>
      <c r="E11">
        <f t="shared" si="0"/>
        <v>-2</v>
      </c>
      <c r="F11" s="10" t="str">
        <f t="shared" si="1"/>
        <v>NEGATIVE</v>
      </c>
      <c r="G11">
        <f t="shared" si="2"/>
        <v>75</v>
      </c>
    </row>
    <row r="12" spans="1:7" ht="68.400000000000006" customHeight="1" x14ac:dyDescent="0.3">
      <c r="A12" s="2" t="s">
        <v>19</v>
      </c>
      <c r="B12" s="2" t="str">
        <f t="shared" si="3"/>
        <v>itching to assassinate 
#tccgif #assassinscreedblackflag #assassinscreed #thecapturedcollective pic.twitter.com/vv8mogtcjw</v>
      </c>
      <c r="C12" cm="1">
        <f t="array" ref="C12">SUMPRODUCT(--ISNUMBER(SEARCH(KEYWORDS!$A$2:$A$11,B12)))</f>
        <v>1</v>
      </c>
      <c r="D12" cm="1">
        <f t="array" ref="D12">SUMPRODUCT(--ISNUMBER(SEARCH(KEYWORDS!$A$2:$B$11,B12)))</f>
        <v>2</v>
      </c>
      <c r="E12">
        <f t="shared" si="0"/>
        <v>-1</v>
      </c>
      <c r="F12" s="10" t="str">
        <f t="shared" si="1"/>
        <v>NEGATIVE</v>
      </c>
      <c r="G12">
        <f t="shared" si="2"/>
        <v>66.666666666666657</v>
      </c>
    </row>
    <row r="13" spans="1:7" ht="52.2" customHeight="1" x14ac:dyDescent="0.3">
      <c r="A13" s="2" t="s">
        <v>7</v>
      </c>
      <c r="B13" s="2" t="str">
        <f t="shared" si="3"/>
        <v>@fredtjoseph hey fred, comcast cut the cable and now verizon stays calling me to shut that too pic.twitter.com/cpwsrmuedg</v>
      </c>
      <c r="C13" cm="1">
        <f t="array" ref="C13">SUMPRODUCT(--ISNUMBER(SEARCH(KEYWORDS!$A$2:$A$11,B13)))</f>
        <v>0</v>
      </c>
      <c r="D13" cm="1">
        <f t="array" ref="D13">SUMPRODUCT(--ISNUMBER(SEARCH(KEYWORDS!$A$2:$B$11,B13)))</f>
        <v>2</v>
      </c>
      <c r="E13">
        <f t="shared" si="0"/>
        <v>-2</v>
      </c>
      <c r="F13" s="10" t="str">
        <f t="shared" si="1"/>
        <v>NEGATIVE</v>
      </c>
      <c r="G13">
        <f t="shared" si="2"/>
        <v>100</v>
      </c>
    </row>
    <row r="14" spans="1:7" ht="29.4" customHeight="1" x14ac:dyDescent="0.3">
      <c r="A14" s="2" t="s">
        <v>8</v>
      </c>
      <c r="B14" s="2" t="str">
        <f t="shared" si="3"/>
        <v>csgo wingman (im silver dont bully) twitch.tv/lprezh</v>
      </c>
      <c r="C14" cm="1">
        <f t="array" ref="C14">SUMPRODUCT(--ISNUMBER(SEARCH(KEYWORDS!$A$2:$A$11,B14)))</f>
        <v>0</v>
      </c>
      <c r="D14" cm="1">
        <f t="array" ref="D14">SUMPRODUCT(--ISNUMBER(SEARCH(KEYWORDS!$A$2:$B$11,B14)))</f>
        <v>0</v>
      </c>
      <c r="E14">
        <f t="shared" si="0"/>
        <v>0</v>
      </c>
      <c r="F14" t="str">
        <f t="shared" si="1"/>
        <v>NEUTRAL</v>
      </c>
      <c r="G14">
        <f t="shared" si="2"/>
        <v>50</v>
      </c>
    </row>
    <row r="15" spans="1:7" ht="31.8" customHeight="1" x14ac:dyDescent="0.3">
      <c r="A15" s="2" t="s">
        <v>9</v>
      </c>
      <c r="B15" s="2" t="str">
        <f t="shared" si="3"/>
        <v>@nba2k game sucks... down by 2 with 38 seconds left and my team intentionally fouls</v>
      </c>
      <c r="C15" cm="1">
        <f t="array" ref="C15">SUMPRODUCT(--ISNUMBER(SEARCH(KEYWORDS!$A$2:$A$11,B15)))</f>
        <v>0</v>
      </c>
      <c r="D15" cm="1">
        <f t="array" ref="D15">SUMPRODUCT(--ISNUMBER(SEARCH(KEYWORDS!$A$2:$B$11,B15)))</f>
        <v>1</v>
      </c>
      <c r="E15">
        <f t="shared" si="0"/>
        <v>-1</v>
      </c>
      <c r="F15" s="10" t="str">
        <f t="shared" si="1"/>
        <v>NEGATIVE</v>
      </c>
      <c r="G15">
        <f t="shared" si="2"/>
        <v>100</v>
      </c>
    </row>
    <row r="16" spans="1:7" ht="31.8" customHeight="1" x14ac:dyDescent="0.3">
      <c r="A16" s="2" t="s">
        <v>10</v>
      </c>
      <c r="B16" s="2" t="str">
        <f t="shared" si="3"/>
        <v>thatâ€™s the best one wtf?</v>
      </c>
      <c r="C16" cm="1">
        <f t="array" ref="C16">SUMPRODUCT(--ISNUMBER(SEARCH(KEYWORDS!$A$2:$A$11,B16)))</f>
        <v>1</v>
      </c>
      <c r="D16" cm="1">
        <f t="array" ref="D16">SUMPRODUCT(--ISNUMBER(SEARCH(KEYWORDS!$A$2:$B$11,B16)))</f>
        <v>1</v>
      </c>
      <c r="E16">
        <f t="shared" si="0"/>
        <v>0</v>
      </c>
      <c r="F16" t="str">
        <f t="shared" si="1"/>
        <v>NEUTRAL</v>
      </c>
      <c r="G16">
        <f t="shared" si="2"/>
        <v>50</v>
      </c>
    </row>
    <row r="17" spans="1:6" ht="17.399999999999999" x14ac:dyDescent="0.3">
      <c r="A17" s="2"/>
      <c r="B17" s="3"/>
    </row>
    <row r="18" spans="1:6" ht="17.399999999999999" x14ac:dyDescent="0.3">
      <c r="A18" s="2"/>
      <c r="B18" s="3"/>
      <c r="F18">
        <f>COUNTIF(F3:F16,"POSITIVE")</f>
        <v>1</v>
      </c>
    </row>
    <row r="19" spans="1:6" ht="17.399999999999999" x14ac:dyDescent="0.3">
      <c r="A19" s="2"/>
      <c r="B19" s="3"/>
      <c r="F19">
        <f>COUNTIF(F3:F16,"NEGATIVE")</f>
        <v>7</v>
      </c>
    </row>
    <row r="20" spans="1:6" ht="17.399999999999999" x14ac:dyDescent="0.3">
      <c r="A20" s="2"/>
      <c r="B20" s="3"/>
      <c r="F20">
        <f>COUNTIF(F3:F16,"NEUTRAL")</f>
        <v>6</v>
      </c>
    </row>
    <row r="21" spans="1:6" ht="17.399999999999999" x14ac:dyDescent="0.3">
      <c r="A21" s="2"/>
      <c r="B21" s="3"/>
    </row>
    <row r="22" spans="1:6" ht="17.399999999999999" x14ac:dyDescent="0.3">
      <c r="A22" s="2"/>
      <c r="B22" s="3"/>
    </row>
    <row r="23" spans="1:6" ht="17.399999999999999" x14ac:dyDescent="0.3">
      <c r="A23" s="2"/>
      <c r="B23" s="3"/>
    </row>
    <row r="24" spans="1:6" ht="17.399999999999999" x14ac:dyDescent="0.3">
      <c r="A24" s="2"/>
      <c r="B24" s="3"/>
    </row>
    <row r="25" spans="1:6" ht="17.399999999999999" x14ac:dyDescent="0.3">
      <c r="A25" s="2"/>
      <c r="B25" s="3"/>
    </row>
    <row r="26" spans="1:6" ht="17.399999999999999" x14ac:dyDescent="0.3">
      <c r="A26" s="2"/>
      <c r="B26" s="3"/>
    </row>
    <row r="27" spans="1:6" ht="17.399999999999999" x14ac:dyDescent="0.3">
      <c r="A27" s="2"/>
      <c r="B27" s="3"/>
    </row>
    <row r="28" spans="1:6" ht="17.399999999999999" x14ac:dyDescent="0.3">
      <c r="A28" s="2"/>
      <c r="B28" s="3"/>
    </row>
    <row r="29" spans="1:6" ht="17.399999999999999" x14ac:dyDescent="0.3">
      <c r="A29" s="2"/>
      <c r="B29" s="3"/>
    </row>
    <row r="30" spans="1:6" ht="17.399999999999999" x14ac:dyDescent="0.3">
      <c r="A30" s="2"/>
      <c r="B30" s="3"/>
    </row>
    <row r="38" spans="1:1" x14ac:dyDescent="0.3">
      <c r="A38" s="1"/>
    </row>
    <row r="46" spans="1:1" x14ac:dyDescent="0.3">
      <c r="A46" s="1"/>
    </row>
    <row r="52" spans="1:1" x14ac:dyDescent="0.3">
      <c r="A52" s="1"/>
    </row>
    <row r="54" spans="1:1" x14ac:dyDescent="0.3">
      <c r="A54" s="1"/>
    </row>
    <row r="61" spans="1:1" x14ac:dyDescent="0.3">
      <c r="A61" s="1"/>
    </row>
    <row r="67" spans="1:1" x14ac:dyDescent="0.3">
      <c r="A67" s="1"/>
    </row>
    <row r="73" spans="1:1" x14ac:dyDescent="0.3">
      <c r="A73" s="1"/>
    </row>
    <row r="76" spans="1:1" x14ac:dyDescent="0.3">
      <c r="A76" s="1"/>
    </row>
    <row r="84" spans="1:1" x14ac:dyDescent="0.3">
      <c r="A84" s="1"/>
    </row>
    <row r="87" spans="1:1" x14ac:dyDescent="0.3">
      <c r="A87" s="1"/>
    </row>
    <row r="90" spans="1:1" x14ac:dyDescent="0.3">
      <c r="A90" s="1"/>
    </row>
    <row r="95" spans="1:1" x14ac:dyDescent="0.3">
      <c r="A95" s="1"/>
    </row>
    <row r="99" spans="1:1" x14ac:dyDescent="0.3">
      <c r="A99" s="1"/>
    </row>
    <row r="100" spans="1:1" x14ac:dyDescent="0.3">
      <c r="A100" s="1"/>
    </row>
    <row r="103" spans="1:1" x14ac:dyDescent="0.3">
      <c r="A103" s="1"/>
    </row>
    <row r="106" spans="1:1" x14ac:dyDescent="0.3">
      <c r="A106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9" spans="1:1" x14ac:dyDescent="0.3">
      <c r="A119" s="1"/>
    </row>
    <row r="121" spans="1:1" x14ac:dyDescent="0.3">
      <c r="A121" s="1"/>
    </row>
    <row r="124" spans="1:1" x14ac:dyDescent="0.3">
      <c r="A124" s="1"/>
    </row>
    <row r="127" spans="1:1" x14ac:dyDescent="0.3">
      <c r="A127" s="1"/>
    </row>
    <row r="129" spans="1:1" x14ac:dyDescent="0.3">
      <c r="A129" s="1"/>
    </row>
    <row r="131" spans="1:1" x14ac:dyDescent="0.3">
      <c r="A131" s="1"/>
    </row>
    <row r="139" spans="1:1" x14ac:dyDescent="0.3">
      <c r="A139" s="1"/>
    </row>
    <row r="156" spans="1:1" x14ac:dyDescent="0.3">
      <c r="A156" s="1"/>
    </row>
    <row r="157" spans="1:1" x14ac:dyDescent="0.3">
      <c r="A157" s="1"/>
    </row>
    <row r="160" spans="1:1" x14ac:dyDescent="0.3">
      <c r="A160" s="1"/>
    </row>
    <row r="162" spans="1:1" x14ac:dyDescent="0.3">
      <c r="A162" s="1"/>
    </row>
    <row r="167" spans="1:1" x14ac:dyDescent="0.3">
      <c r="A167" s="1"/>
    </row>
    <row r="175" spans="1:1" x14ac:dyDescent="0.3">
      <c r="A175" s="1"/>
    </row>
    <row r="178" spans="1:1" x14ac:dyDescent="0.3">
      <c r="A178" s="1"/>
    </row>
    <row r="190" spans="1:1" x14ac:dyDescent="0.3">
      <c r="A190" s="1"/>
    </row>
    <row r="196" spans="1:1" x14ac:dyDescent="0.3">
      <c r="A196" s="1"/>
    </row>
    <row r="197" spans="1:1" x14ac:dyDescent="0.3">
      <c r="A197" s="1"/>
    </row>
    <row r="202" spans="1:1" x14ac:dyDescent="0.3">
      <c r="A202" s="1"/>
    </row>
    <row r="208" spans="1:1" x14ac:dyDescent="0.3">
      <c r="A208" s="1"/>
    </row>
    <row r="209" spans="1:1" x14ac:dyDescent="0.3">
      <c r="A209" s="1"/>
    </row>
    <row r="212" spans="1:1" x14ac:dyDescent="0.3">
      <c r="A212" s="1"/>
    </row>
    <row r="217" spans="1:1" x14ac:dyDescent="0.3">
      <c r="A217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35" spans="1:1" x14ac:dyDescent="0.3">
      <c r="A235" s="1"/>
    </row>
    <row r="239" spans="1:1" x14ac:dyDescent="0.3">
      <c r="A239" s="1"/>
    </row>
    <row r="241" spans="1:1" x14ac:dyDescent="0.3">
      <c r="A241" s="1"/>
    </row>
    <row r="243" spans="1:1" x14ac:dyDescent="0.3">
      <c r="A243" s="1"/>
    </row>
    <row r="249" spans="1:1" x14ac:dyDescent="0.3">
      <c r="A249" s="1"/>
    </row>
    <row r="251" spans="1:1" x14ac:dyDescent="0.3">
      <c r="A251" s="1"/>
    </row>
    <row r="253" spans="1:1" x14ac:dyDescent="0.3">
      <c r="A253" s="1"/>
    </row>
    <row r="255" spans="1:1" x14ac:dyDescent="0.3">
      <c r="A255" s="1"/>
    </row>
    <row r="260" spans="1:1" x14ac:dyDescent="0.3">
      <c r="A260" s="1"/>
    </row>
    <row r="270" spans="1:1" x14ac:dyDescent="0.3">
      <c r="A270" s="1"/>
    </row>
    <row r="283" spans="1:1" x14ac:dyDescent="0.3">
      <c r="A283" s="1"/>
    </row>
    <row r="289" spans="1:1" x14ac:dyDescent="0.3">
      <c r="A289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1" spans="1:1" x14ac:dyDescent="0.3">
      <c r="A301" s="1"/>
    </row>
    <row r="309" spans="1:1" x14ac:dyDescent="0.3">
      <c r="A309" s="1"/>
    </row>
    <row r="310" spans="1:1" x14ac:dyDescent="0.3">
      <c r="A310" s="1"/>
    </row>
    <row r="316" spans="1:1" x14ac:dyDescent="0.3">
      <c r="A316" s="1"/>
    </row>
    <row r="317" spans="1:1" x14ac:dyDescent="0.3">
      <c r="A317" s="1"/>
    </row>
    <row r="327" spans="1:1" x14ac:dyDescent="0.3">
      <c r="A327" s="1"/>
    </row>
    <row r="330" spans="1:1" x14ac:dyDescent="0.3">
      <c r="A330" s="1"/>
    </row>
    <row r="331" spans="1:1" x14ac:dyDescent="0.3">
      <c r="A331" s="1"/>
    </row>
    <row r="339" spans="1:1" x14ac:dyDescent="0.3">
      <c r="A339" s="1"/>
    </row>
    <row r="341" spans="1:1" x14ac:dyDescent="0.3">
      <c r="A341" s="1"/>
    </row>
    <row r="342" spans="1:1" x14ac:dyDescent="0.3">
      <c r="A342" s="1"/>
    </row>
    <row r="347" spans="1:1" x14ac:dyDescent="0.3">
      <c r="A347" s="1"/>
    </row>
    <row r="350" spans="1:1" x14ac:dyDescent="0.3">
      <c r="A350" s="1"/>
    </row>
    <row r="351" spans="1:1" x14ac:dyDescent="0.3">
      <c r="A351" s="1"/>
    </row>
    <row r="353" spans="1:1" x14ac:dyDescent="0.3">
      <c r="A353" s="1"/>
    </row>
    <row r="358" spans="1:1" x14ac:dyDescent="0.3">
      <c r="A358" s="1"/>
    </row>
    <row r="367" spans="1:1" x14ac:dyDescent="0.3">
      <c r="A367" s="1"/>
    </row>
    <row r="374" spans="1:1" x14ac:dyDescent="0.3">
      <c r="A374" s="1"/>
    </row>
    <row r="375" spans="1:1" x14ac:dyDescent="0.3">
      <c r="A375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6" spans="1:1" x14ac:dyDescent="0.3">
      <c r="A396" s="1"/>
    </row>
    <row r="398" spans="1:1" x14ac:dyDescent="0.3">
      <c r="A398" s="1"/>
    </row>
    <row r="408" spans="1:1" x14ac:dyDescent="0.3">
      <c r="A408" s="1"/>
    </row>
    <row r="409" spans="1:1" x14ac:dyDescent="0.3">
      <c r="A409" s="1"/>
    </row>
    <row r="411" spans="1:1" x14ac:dyDescent="0.3">
      <c r="A411" s="1"/>
    </row>
    <row r="412" spans="1:1" x14ac:dyDescent="0.3">
      <c r="A412" s="1"/>
    </row>
    <row r="414" spans="1:1" x14ac:dyDescent="0.3">
      <c r="A414" s="1"/>
    </row>
    <row r="415" spans="1:1" x14ac:dyDescent="0.3">
      <c r="A415" s="1"/>
    </row>
    <row r="428" spans="1:1" x14ac:dyDescent="0.3">
      <c r="A428" s="1"/>
    </row>
    <row r="430" spans="1:1" x14ac:dyDescent="0.3">
      <c r="A430" s="1"/>
    </row>
    <row r="431" spans="1:1" x14ac:dyDescent="0.3">
      <c r="A431" s="1"/>
    </row>
    <row r="437" spans="1:1" x14ac:dyDescent="0.3">
      <c r="A437" s="1"/>
    </row>
    <row r="438" spans="1:1" x14ac:dyDescent="0.3">
      <c r="A438" s="1"/>
    </row>
    <row r="441" spans="1:1" x14ac:dyDescent="0.3">
      <c r="A441" s="1"/>
    </row>
    <row r="442" spans="1:1" x14ac:dyDescent="0.3">
      <c r="A442" s="1"/>
    </row>
    <row r="444" spans="1:1" x14ac:dyDescent="0.3">
      <c r="A444" s="1"/>
    </row>
    <row r="446" spans="1:1" x14ac:dyDescent="0.3">
      <c r="A446" s="1"/>
    </row>
    <row r="447" spans="1:1" x14ac:dyDescent="0.3">
      <c r="A447" s="1"/>
    </row>
    <row r="449" spans="1:1" x14ac:dyDescent="0.3">
      <c r="A449" s="1"/>
    </row>
    <row r="454" spans="1:1" x14ac:dyDescent="0.3">
      <c r="A454" s="1"/>
    </row>
    <row r="457" spans="1:1" x14ac:dyDescent="0.3">
      <c r="A457" s="1"/>
    </row>
    <row r="459" spans="1:1" x14ac:dyDescent="0.3">
      <c r="A459" s="1"/>
    </row>
    <row r="465" spans="1:1" x14ac:dyDescent="0.3">
      <c r="A465" s="1"/>
    </row>
    <row r="470" spans="1:1" x14ac:dyDescent="0.3">
      <c r="A470" s="1"/>
    </row>
    <row r="476" spans="1:1" x14ac:dyDescent="0.3">
      <c r="A476" s="1"/>
    </row>
    <row r="485" spans="1:1" x14ac:dyDescent="0.3">
      <c r="A485" s="1"/>
    </row>
    <row r="487" spans="1:1" x14ac:dyDescent="0.3">
      <c r="A487" s="1"/>
    </row>
    <row r="494" spans="1:1" x14ac:dyDescent="0.3">
      <c r="A494" s="1"/>
    </row>
    <row r="502" spans="1:1" x14ac:dyDescent="0.3">
      <c r="A502" s="1"/>
    </row>
    <row r="503" spans="1:1" x14ac:dyDescent="0.3">
      <c r="A503" s="1"/>
    </row>
    <row r="509" spans="1:1" x14ac:dyDescent="0.3">
      <c r="A509" s="1"/>
    </row>
    <row r="520" spans="1:1" x14ac:dyDescent="0.3">
      <c r="A520" s="1"/>
    </row>
    <row r="524" spans="1:1" x14ac:dyDescent="0.3">
      <c r="A524" s="1"/>
    </row>
    <row r="530" spans="1:1" x14ac:dyDescent="0.3">
      <c r="A530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40" spans="1:1" x14ac:dyDescent="0.3">
      <c r="A540" s="1"/>
    </row>
    <row r="545" spans="1:1" x14ac:dyDescent="0.3">
      <c r="A545" s="1"/>
    </row>
    <row r="549" spans="1:1" x14ac:dyDescent="0.3">
      <c r="A549" s="1"/>
    </row>
    <row r="550" spans="1:1" x14ac:dyDescent="0.3">
      <c r="A550" s="1"/>
    </row>
    <row r="560" spans="1:1" x14ac:dyDescent="0.3">
      <c r="A560" s="1"/>
    </row>
    <row r="561" spans="1:1" x14ac:dyDescent="0.3">
      <c r="A561" s="1"/>
    </row>
    <row r="569" spans="1:1" x14ac:dyDescent="0.3">
      <c r="A569" s="1"/>
    </row>
    <row r="572" spans="1:1" x14ac:dyDescent="0.3">
      <c r="A572" s="1"/>
    </row>
    <row r="580" spans="1:1" x14ac:dyDescent="0.3">
      <c r="A580" s="1"/>
    </row>
    <row r="584" spans="1:1" x14ac:dyDescent="0.3">
      <c r="A584" s="1"/>
    </row>
    <row r="586" spans="1:1" x14ac:dyDescent="0.3">
      <c r="A586" s="1"/>
    </row>
    <row r="588" spans="1:1" x14ac:dyDescent="0.3">
      <c r="A588" s="1"/>
    </row>
    <row r="590" spans="1:1" x14ac:dyDescent="0.3">
      <c r="A590" s="1"/>
    </row>
    <row r="593" spans="1:1" x14ac:dyDescent="0.3">
      <c r="A593" s="1"/>
    </row>
    <row r="594" spans="1:1" x14ac:dyDescent="0.3">
      <c r="A594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1" spans="1:1" x14ac:dyDescent="0.3">
      <c r="A601" s="1"/>
    </row>
    <row r="607" spans="1:1" x14ac:dyDescent="0.3">
      <c r="A607" s="1"/>
    </row>
    <row r="610" spans="1:1" x14ac:dyDescent="0.3">
      <c r="A610" s="1"/>
    </row>
    <row r="613" spans="1:1" x14ac:dyDescent="0.3">
      <c r="A613" s="1"/>
    </row>
    <row r="618" spans="1:1" x14ac:dyDescent="0.3">
      <c r="A618" s="1"/>
    </row>
    <row r="620" spans="1:1" x14ac:dyDescent="0.3">
      <c r="A620" s="1"/>
    </row>
    <row r="622" spans="1:1" x14ac:dyDescent="0.3">
      <c r="A622" s="1"/>
    </row>
    <row r="623" spans="1:1" x14ac:dyDescent="0.3">
      <c r="A623" s="1"/>
    </row>
    <row r="627" spans="1:1" x14ac:dyDescent="0.3">
      <c r="A627" s="1"/>
    </row>
    <row r="629" spans="1:1" x14ac:dyDescent="0.3">
      <c r="A629" s="1"/>
    </row>
    <row r="632" spans="1:1" x14ac:dyDescent="0.3">
      <c r="A632" s="1"/>
    </row>
    <row r="639" spans="1:1" x14ac:dyDescent="0.3">
      <c r="A639" s="1"/>
    </row>
    <row r="648" spans="1:1" x14ac:dyDescent="0.3">
      <c r="A648" s="1"/>
    </row>
    <row r="649" spans="1:1" x14ac:dyDescent="0.3">
      <c r="A649" s="1"/>
    </row>
    <row r="659" spans="1:1" x14ac:dyDescent="0.3">
      <c r="A659" s="1"/>
    </row>
    <row r="661" spans="1:1" x14ac:dyDescent="0.3">
      <c r="A661" s="1"/>
    </row>
    <row r="673" spans="1:1" x14ac:dyDescent="0.3">
      <c r="A673" s="1"/>
    </row>
    <row r="679" spans="1:1" x14ac:dyDescent="0.3">
      <c r="A679" s="1"/>
    </row>
    <row r="702" spans="1:1" x14ac:dyDescent="0.3">
      <c r="A702" s="1"/>
    </row>
    <row r="703" spans="1:1" x14ac:dyDescent="0.3">
      <c r="A703" s="1"/>
    </row>
    <row r="709" spans="1:1" x14ac:dyDescent="0.3">
      <c r="A709" s="1"/>
    </row>
    <row r="713" spans="1:1" x14ac:dyDescent="0.3">
      <c r="A713" s="1"/>
    </row>
    <row r="715" spans="1:1" x14ac:dyDescent="0.3">
      <c r="A715" s="1"/>
    </row>
    <row r="717" spans="1:1" x14ac:dyDescent="0.3">
      <c r="A717" s="1"/>
    </row>
    <row r="719" spans="1:1" x14ac:dyDescent="0.3">
      <c r="A719" s="1"/>
    </row>
    <row r="723" spans="1:1" x14ac:dyDescent="0.3">
      <c r="A723" s="1"/>
    </row>
    <row r="724" spans="1:1" x14ac:dyDescent="0.3">
      <c r="A724" s="1"/>
    </row>
    <row r="729" spans="1:1" x14ac:dyDescent="0.3">
      <c r="A729" s="1"/>
    </row>
    <row r="734" spans="1:1" x14ac:dyDescent="0.3">
      <c r="A734" s="1"/>
    </row>
    <row r="743" spans="1:1" x14ac:dyDescent="0.3">
      <c r="A743" s="1"/>
    </row>
    <row r="749" spans="1:1" x14ac:dyDescent="0.3">
      <c r="A749" s="1"/>
    </row>
    <row r="756" spans="1:1" x14ac:dyDescent="0.3">
      <c r="A756" s="1"/>
    </row>
    <row r="758" spans="1:1" x14ac:dyDescent="0.3">
      <c r="A758" s="1"/>
    </row>
    <row r="761" spans="1:1" x14ac:dyDescent="0.3">
      <c r="A761" s="1"/>
    </row>
    <row r="762" spans="1:1" x14ac:dyDescent="0.3">
      <c r="A762" s="1"/>
    </row>
    <row r="766" spans="1:1" x14ac:dyDescent="0.3">
      <c r="A766" s="1"/>
    </row>
    <row r="769" spans="1:1" x14ac:dyDescent="0.3">
      <c r="A769" s="1"/>
    </row>
    <row r="784" spans="1:1" x14ac:dyDescent="0.3">
      <c r="A784" s="1"/>
    </row>
    <row r="785" spans="1:1" x14ac:dyDescent="0.3">
      <c r="A785" s="1"/>
    </row>
    <row r="792" spans="1:1" x14ac:dyDescent="0.3">
      <c r="A792" s="1"/>
    </row>
    <row r="798" spans="1:1" x14ac:dyDescent="0.3">
      <c r="A798" s="1"/>
    </row>
    <row r="804" spans="1:1" x14ac:dyDescent="0.3">
      <c r="A804" s="1"/>
    </row>
    <row r="808" spans="1:1" x14ac:dyDescent="0.3">
      <c r="A808" s="1"/>
    </row>
    <row r="812" spans="1:1" x14ac:dyDescent="0.3">
      <c r="A812" s="1"/>
    </row>
    <row r="814" spans="1:1" x14ac:dyDescent="0.3">
      <c r="A814" s="1"/>
    </row>
    <row r="820" spans="1:1" x14ac:dyDescent="0.3">
      <c r="A820" s="1"/>
    </row>
    <row r="840" spans="1:1" x14ac:dyDescent="0.3">
      <c r="A840" s="1"/>
    </row>
    <row r="841" spans="1:1" x14ac:dyDescent="0.3">
      <c r="A841" s="1"/>
    </row>
    <row r="845" spans="1:1" x14ac:dyDescent="0.3">
      <c r="A845" s="1"/>
    </row>
    <row r="846" spans="1:1" x14ac:dyDescent="0.3">
      <c r="A846" s="1"/>
    </row>
    <row r="848" spans="1:1" x14ac:dyDescent="0.3">
      <c r="A848" s="1"/>
    </row>
    <row r="851" spans="1:1" x14ac:dyDescent="0.3">
      <c r="A851" s="1"/>
    </row>
    <row r="852" spans="1:1" x14ac:dyDescent="0.3">
      <c r="A852" s="1"/>
    </row>
    <row r="855" spans="1:1" x14ac:dyDescent="0.3">
      <c r="A855" s="1"/>
    </row>
    <row r="864" spans="1:1" x14ac:dyDescent="0.3">
      <c r="A864" s="1"/>
    </row>
    <row r="869" spans="1:1" x14ac:dyDescent="0.3">
      <c r="A869" s="1"/>
    </row>
    <row r="872" spans="1:1" x14ac:dyDescent="0.3">
      <c r="A872" s="1"/>
    </row>
    <row r="877" spans="1:1" x14ac:dyDescent="0.3">
      <c r="A877" s="1"/>
    </row>
    <row r="885" spans="1:1" x14ac:dyDescent="0.3">
      <c r="A885" s="1"/>
    </row>
    <row r="889" spans="1:1" x14ac:dyDescent="0.3">
      <c r="A889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8" spans="1:1" x14ac:dyDescent="0.3">
      <c r="A898" s="1"/>
    </row>
    <row r="903" spans="1:1" x14ac:dyDescent="0.3">
      <c r="A903" s="1"/>
    </row>
    <row r="907" spans="1:1" x14ac:dyDescent="0.3">
      <c r="A907" s="1"/>
    </row>
    <row r="910" spans="1:1" x14ac:dyDescent="0.3">
      <c r="A910" s="1"/>
    </row>
    <row r="913" spans="1:1" x14ac:dyDescent="0.3">
      <c r="A913" s="1"/>
    </row>
    <row r="915" spans="1:1" x14ac:dyDescent="0.3">
      <c r="A915" s="1"/>
    </row>
    <row r="917" spans="1:1" x14ac:dyDescent="0.3">
      <c r="A917" s="1"/>
    </row>
    <row r="936" spans="1:1" x14ac:dyDescent="0.3">
      <c r="A936" s="1"/>
    </row>
    <row r="937" spans="1:1" x14ac:dyDescent="0.3">
      <c r="A937" s="1"/>
    </row>
    <row r="944" spans="1:1" x14ac:dyDescent="0.3">
      <c r="A944" s="1"/>
    </row>
    <row r="951" spans="1:1" x14ac:dyDescent="0.3">
      <c r="A951" s="1"/>
    </row>
    <row r="957" spans="1:1" x14ac:dyDescent="0.3">
      <c r="A957" s="1"/>
    </row>
    <row r="960" spans="1:1" x14ac:dyDescent="0.3">
      <c r="A960" s="1"/>
    </row>
    <row r="961" spans="1:1" x14ac:dyDescent="0.3">
      <c r="A961" s="1"/>
    </row>
    <row r="968" spans="1:1" x14ac:dyDescent="0.3">
      <c r="A968" s="1"/>
    </row>
    <row r="971" spans="1:1" x14ac:dyDescent="0.3">
      <c r="A971" s="1"/>
    </row>
    <row r="974" spans="1:1" x14ac:dyDescent="0.3">
      <c r="A974" s="1"/>
    </row>
    <row r="979" spans="1:2" x14ac:dyDescent="0.3">
      <c r="A979" s="1"/>
    </row>
    <row r="983" spans="1:2" x14ac:dyDescent="0.3">
      <c r="B983" t="str">
        <f t="shared" ref="B983:B996" si="4">LOWER(TRIM(A983))</f>
        <v/>
      </c>
    </row>
    <row r="984" spans="1:2" x14ac:dyDescent="0.3">
      <c r="B984" t="str">
        <f t="shared" si="4"/>
        <v/>
      </c>
    </row>
    <row r="985" spans="1:2" x14ac:dyDescent="0.3">
      <c r="B985" t="str">
        <f t="shared" si="4"/>
        <v/>
      </c>
    </row>
    <row r="986" spans="1:2" x14ac:dyDescent="0.3">
      <c r="B986" t="str">
        <f t="shared" si="4"/>
        <v/>
      </c>
    </row>
    <row r="987" spans="1:2" x14ac:dyDescent="0.3">
      <c r="B987" t="str">
        <f t="shared" si="4"/>
        <v/>
      </c>
    </row>
    <row r="988" spans="1:2" x14ac:dyDescent="0.3">
      <c r="B988" t="str">
        <f t="shared" si="4"/>
        <v/>
      </c>
    </row>
    <row r="989" spans="1:2" x14ac:dyDescent="0.3">
      <c r="B989" t="str">
        <f t="shared" si="4"/>
        <v/>
      </c>
    </row>
    <row r="990" spans="1:2" x14ac:dyDescent="0.3">
      <c r="B990" t="str">
        <f t="shared" si="4"/>
        <v/>
      </c>
    </row>
    <row r="991" spans="1:2" x14ac:dyDescent="0.3">
      <c r="B991" t="str">
        <f t="shared" si="4"/>
        <v/>
      </c>
    </row>
    <row r="992" spans="1:2" x14ac:dyDescent="0.3">
      <c r="B992" t="str">
        <f t="shared" si="4"/>
        <v/>
      </c>
    </row>
    <row r="993" spans="2:2" x14ac:dyDescent="0.3">
      <c r="B993" t="str">
        <f t="shared" si="4"/>
        <v/>
      </c>
    </row>
    <row r="994" spans="2:2" x14ac:dyDescent="0.3">
      <c r="B994" t="str">
        <f t="shared" si="4"/>
        <v/>
      </c>
    </row>
    <row r="995" spans="2:2" x14ac:dyDescent="0.3">
      <c r="B995" t="str">
        <f t="shared" si="4"/>
        <v/>
      </c>
    </row>
    <row r="996" spans="2:2" x14ac:dyDescent="0.3">
      <c r="B996" t="str">
        <f t="shared" si="4"/>
        <v/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6CC3B-91ED-4200-BD1D-DD354445770C}">
  <dimension ref="A1:B15"/>
  <sheetViews>
    <sheetView zoomScale="137" workbookViewId="0">
      <selection activeCell="A12" sqref="A12"/>
    </sheetView>
  </sheetViews>
  <sheetFormatPr defaultRowHeight="14.4" x14ac:dyDescent="0.3"/>
  <cols>
    <col min="1" max="1" width="14.21875" customWidth="1"/>
    <col min="2" max="2" width="14.6640625" customWidth="1"/>
  </cols>
  <sheetData>
    <row r="1" spans="1:2" ht="41.4" x14ac:dyDescent="0.3">
      <c r="A1" s="8" t="s">
        <v>22</v>
      </c>
      <c r="B1" s="9" t="s">
        <v>23</v>
      </c>
    </row>
    <row r="2" spans="1:2" x14ac:dyDescent="0.3">
      <c r="A2" t="s">
        <v>28</v>
      </c>
      <c r="B2" t="s">
        <v>24</v>
      </c>
    </row>
    <row r="3" spans="1:2" x14ac:dyDescent="0.3">
      <c r="A3" t="s">
        <v>32</v>
      </c>
      <c r="B3" t="s">
        <v>25</v>
      </c>
    </row>
    <row r="4" spans="1:2" x14ac:dyDescent="0.3">
      <c r="A4" t="s">
        <v>27</v>
      </c>
      <c r="B4" t="s">
        <v>26</v>
      </c>
    </row>
    <row r="5" spans="1:2" x14ac:dyDescent="0.3">
      <c r="A5" t="s">
        <v>34</v>
      </c>
      <c r="B5" t="s">
        <v>29</v>
      </c>
    </row>
    <row r="6" spans="1:2" x14ac:dyDescent="0.3">
      <c r="A6" t="s">
        <v>39</v>
      </c>
      <c r="B6" t="s">
        <v>35</v>
      </c>
    </row>
    <row r="7" spans="1:2" x14ac:dyDescent="0.3">
      <c r="A7" t="s">
        <v>41</v>
      </c>
      <c r="B7" t="s">
        <v>31</v>
      </c>
    </row>
    <row r="8" spans="1:2" x14ac:dyDescent="0.3">
      <c r="A8" t="s">
        <v>43</v>
      </c>
      <c r="B8" t="s">
        <v>30</v>
      </c>
    </row>
    <row r="9" spans="1:2" x14ac:dyDescent="0.3">
      <c r="A9" t="s">
        <v>45</v>
      </c>
      <c r="B9" t="s">
        <v>33</v>
      </c>
    </row>
    <row r="10" spans="1:2" x14ac:dyDescent="0.3">
      <c r="A10" t="s">
        <v>46</v>
      </c>
      <c r="B10" t="s">
        <v>36</v>
      </c>
    </row>
    <row r="11" spans="1:2" x14ac:dyDescent="0.3">
      <c r="A11" t="s">
        <v>47</v>
      </c>
      <c r="B11" t="s">
        <v>37</v>
      </c>
    </row>
    <row r="12" spans="1:2" x14ac:dyDescent="0.3">
      <c r="A12" t="s">
        <v>48</v>
      </c>
      <c r="B12" t="s">
        <v>38</v>
      </c>
    </row>
    <row r="13" spans="1:2" x14ac:dyDescent="0.3">
      <c r="B13" t="s">
        <v>40</v>
      </c>
    </row>
    <row r="14" spans="1:2" x14ac:dyDescent="0.3">
      <c r="B14" t="s">
        <v>42</v>
      </c>
    </row>
    <row r="15" spans="1:2" x14ac:dyDescent="0.3">
      <c r="B1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DFEB0-650B-4AAE-AEA6-196E863EA0CE}">
  <dimension ref="A3:B18"/>
  <sheetViews>
    <sheetView zoomScale="75" workbookViewId="0">
      <selection activeCell="T8" sqref="T8"/>
    </sheetView>
  </sheetViews>
  <sheetFormatPr defaultRowHeight="14.4" x14ac:dyDescent="0.3"/>
  <cols>
    <col min="1" max="1" width="13.88671875" customWidth="1"/>
    <col min="2" max="2" width="17.6640625" customWidth="1"/>
    <col min="3" max="3" width="11.44140625" customWidth="1"/>
  </cols>
  <sheetData>
    <row r="3" spans="1:2" x14ac:dyDescent="0.3">
      <c r="A3" s="12" t="s">
        <v>51</v>
      </c>
      <c r="B3" s="12" t="s">
        <v>50</v>
      </c>
    </row>
    <row r="4" spans="1:2" x14ac:dyDescent="0.3">
      <c r="A4" t="s">
        <v>49</v>
      </c>
      <c r="B4">
        <v>7</v>
      </c>
    </row>
    <row r="5" spans="1:2" x14ac:dyDescent="0.3">
      <c r="A5" t="s">
        <v>52</v>
      </c>
      <c r="B5">
        <v>6</v>
      </c>
    </row>
    <row r="6" spans="1:2" x14ac:dyDescent="0.3">
      <c r="A6" t="s">
        <v>41</v>
      </c>
      <c r="B6">
        <v>1</v>
      </c>
    </row>
    <row r="7" spans="1:2" x14ac:dyDescent="0.3">
      <c r="A7" s="13" t="s">
        <v>50</v>
      </c>
      <c r="B7">
        <f>SUM(B4:B6)</f>
        <v>14</v>
      </c>
    </row>
    <row r="9" spans="1:2" x14ac:dyDescent="0.3">
      <c r="A9" s="13" t="s">
        <v>53</v>
      </c>
      <c r="B9">
        <f>AVERAGE(B4:B6)</f>
        <v>4.666666666666667</v>
      </c>
    </row>
    <row r="17" spans="1:2" ht="11.4" customHeight="1" x14ac:dyDescent="0.3"/>
    <row r="18" spans="1:2" ht="30.6" customHeight="1" x14ac:dyDescent="0.3">
      <c r="A18" s="14" t="s">
        <v>54</v>
      </c>
      <c r="B18">
        <f>AVERAGE(DATA!G3:G16)</f>
        <v>72.976190476190467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KEYWORDS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singla</dc:creator>
  <cp:lastModifiedBy>dimple singla</cp:lastModifiedBy>
  <dcterms:created xsi:type="dcterms:W3CDTF">2026-05-09T15:32:26Z</dcterms:created>
  <dcterms:modified xsi:type="dcterms:W3CDTF">2026-05-12T05:42:20Z</dcterms:modified>
</cp:coreProperties>
</file>